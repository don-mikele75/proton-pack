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5b897f66940ad7a/Documents/Ghostbusters - Fasching/"/>
    </mc:Choice>
  </mc:AlternateContent>
  <xr:revisionPtr revIDLastSave="34" documentId="8_{A3FB6487-287F-4E09-8157-E033F4693222}" xr6:coauthVersionLast="47" xr6:coauthVersionMax="47" xr10:uidLastSave="{DC476CE8-8351-4974-AF9C-94B9ADBAB506}"/>
  <bookViews>
    <workbookView xWindow="204" yWindow="1915" windowWidth="22143" windowHeight="14496" xr2:uid="{C509C673-8863-4D05-ADF5-6FB5631A21AB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5" i="1" l="1"/>
  <c r="B23" i="1"/>
  <c r="D23" i="1" s="1"/>
  <c r="B22" i="1"/>
  <c r="D22" i="1" s="1"/>
  <c r="B19" i="1"/>
  <c r="D19" i="1"/>
  <c r="B20" i="1"/>
  <c r="D20" i="1" s="1"/>
  <c r="B16" i="1"/>
  <c r="D16" i="1" s="1"/>
  <c r="B15" i="1"/>
  <c r="D15" i="1" s="1"/>
  <c r="B14" i="1"/>
  <c r="D14" i="1" s="1"/>
  <c r="B13" i="1"/>
  <c r="D13" i="1" s="1"/>
  <c r="B12" i="1"/>
  <c r="D12" i="1" s="1"/>
  <c r="B11" i="1"/>
  <c r="D11" i="1" s="1"/>
  <c r="B10" i="1"/>
  <c r="D10" i="1" s="1"/>
  <c r="B9" i="1"/>
  <c r="D9" i="1" s="1"/>
  <c r="B8" i="1"/>
  <c r="D8" i="1" s="1"/>
  <c r="B7" i="1"/>
  <c r="D7" i="1" s="1"/>
  <c r="B6" i="1"/>
  <c r="D6" i="1" s="1"/>
  <c r="B5" i="1"/>
  <c r="D5" i="1"/>
  <c r="D4" i="1"/>
  <c r="D3" i="1"/>
  <c r="B2" i="1"/>
  <c r="D2" i="1" s="1"/>
  <c r="B1" i="1"/>
  <c r="D1" i="1" s="1"/>
  <c r="D28" i="1" s="1"/>
</calcChain>
</file>

<file path=xl/sharedStrings.xml><?xml version="1.0" encoding="utf-8"?>
<sst xmlns="http://schemas.openxmlformats.org/spreadsheetml/2006/main" count="21" uniqueCount="19">
  <si>
    <t>Aiqeer 5 Stück 8-Polig GX16 Aviation Stecker, 16 mm Gewinde Metall Luftfahrt Kabelverbinder, 5A Männlich Weiblich Luftfahrt Stecker Steckdose Kit, mit Gummikappe</t>
  </si>
  <si>
    <t>BILIPLE Fahrzeugkabel 8 adrig 5M Anhängerkabel 8 polig Camping Fahrzeugleitung mit Kabelquerschnitt 7x0.5mm² +1x0.75mm² Fahrzeugleitung für Anhänger Beleuchtung</t>
  </si>
  <si>
    <t>Flachbandkabel, 40p Rainbow Flat Ribbon Kabel, 1,27 Mm Bunte Abstand Pitch Kabel Drahtbreite 5,08 cm Flachband IDC Draht Kabel(1m)</t>
  </si>
  <si>
    <t>QUARKZMAN 4 Stück Acryl Kunststoffstäbe Rund, 20mm x 100mm Acrylstab Transparent für Modellbau DIY, Architekturmodellbau, DIY Sandtisch</t>
  </si>
  <si>
    <t>AZDelivery MAX98357A I2S 3W Mono Verstärker der Klasse D filterloses Amplifier Breakout-Modul DAC Decoder-Modul Audio Board mit breitem Anwendungsbereich inklusive E-Book</t>
  </si>
  <si>
    <t>MejaRizon 4 Stück Gleichstrom Pigtail Kabe, 50 cm 0,5m 18 AWG DC 5,5 mm x 2,1 mm Stecker, Bare Wire Open End Netzteil Reparaturkabel, für DVR LED-Streifen-Licht Usw CCTV-Überwachungskamera</t>
  </si>
  <si>
    <t>AUKENIEN SR5100 SB5100 Schottky Barrier Gleichrichter Diode 5A 100V DO-27 Axial Dioden 5 Ampere 100 Volt (Packung mit 20 Stück)</t>
  </si>
  <si>
    <t>100 pcs WS2812B ECO RGB-Legierung Drähte 5050 mit PCB-Kühlkörper(10 mm * 3 mm) SMD Weiß LED-Chips</t>
  </si>
  <si>
    <t>10 Stück LED-Treiber, Rund Eingebautes Farblicht Ws2812b Ring 5050 WS2812 Entwicklungsplatine 7 Bit Cjmcu Bit WS2812 RGB</t>
  </si>
  <si>
    <t>TalentCell Wiederaufladbare 36W 12V/6000mAh 5V/12000mAh DC Ausgang Lithium-Ionen-Akku für LED-Streifen, Band-Licht, CCTV-Kamera und mehr, Schwarz</t>
  </si>
  <si>
    <t>APKLVSR DC-DC 24V/12V auf 5V 5A Step Down Converter,Step Down Power Supply Buck Converter Modul mit USB Port（5 Stück）</t>
  </si>
  <si>
    <t>eSUN PLA Filament 1.75mm, PLA Basic 3D Drucker Filament Maßgenauigkeit +/- 0.03mm, 1KG Spule (2.2 LBS) Super Speedy PLA Filament für 3D Drucker, Schwarz</t>
  </si>
  <si>
    <t>CQRobot-Lautsprecher 4 Ohm 3 Watt für Arduino, 2,54 mm Dupont-Schnittstelle. Es ist ideal für eine Vielzahl Kleiner elektronischer Projekte.</t>
  </si>
  <si>
    <t>Alice Pack Rahmen aufsätze (aliexpress)</t>
  </si>
  <si>
    <t>Schulterriemen und Beckengurt für Alice-Pack</t>
  </si>
  <si>
    <t>Rallye schwarz glänzend 500 / 500 ml</t>
  </si>
  <si>
    <t>Spritzspachtel 400ml / 400 ml</t>
  </si>
  <si>
    <t>Indoor-Aufkleber</t>
  </si>
  <si>
    <t>Sparkleiot 5 x WS2812B 5050 RGB LED Stick Eingebaute Treiber für Arduino Raspberry Pi ESP32 Heimdekoration Beleuchtung Pack mit 5 Stück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</si>
</sst>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">
    <xf numFmtId="0" fontId="0" fillId="0" borderId="0" xfId="0"/>
    <xf numFmtId="44" fontId="0" fillId="0" borderId="0" xfId="1" applyFont="1"/>
  </cellXfs>
  <cellStyles count="2"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31C56-9199-459C-AAD2-A50EC4B154A3}">
  <dimension ref="A1:D28"/>
  <sheetViews>
    <sheetView tabSelected="1" workbookViewId="0">
      <selection activeCell="A27" sqref="A27"/>
    </sheetView>
  </sheetViews>
  <sheetFormatPr baseColWidth="10" defaultRowHeight="14.3" x14ac:dyDescent="0.25"/>
  <cols>
    <col min="1" max="1" width="98" customWidth="1"/>
    <col min="2" max="2" width="11" style="1"/>
    <col min="4" max="4" width="11" style="1"/>
  </cols>
  <sheetData>
    <row r="1" spans="1:4" x14ac:dyDescent="0.25">
      <c r="A1" t="s">
        <v>18</v>
      </c>
      <c r="B1" s="1">
        <f>15.98/5</f>
        <v>3.1960000000000002</v>
      </c>
      <c r="C1">
        <v>5</v>
      </c>
      <c r="D1" s="1">
        <f>B1*C1</f>
        <v>15.98</v>
      </c>
    </row>
    <row r="2" spans="1:4" x14ac:dyDescent="0.25">
      <c r="A2" t="s">
        <v>0</v>
      </c>
      <c r="B2" s="1">
        <f>7.99/5</f>
        <v>1.5980000000000001</v>
      </c>
      <c r="C2">
        <v>5</v>
      </c>
      <c r="D2" s="1">
        <f>B2*C2</f>
        <v>7.99</v>
      </c>
    </row>
    <row r="3" spans="1:4" x14ac:dyDescent="0.25">
      <c r="A3" t="s">
        <v>1</v>
      </c>
      <c r="B3" s="1">
        <v>17.149999999999999</v>
      </c>
      <c r="C3">
        <v>1</v>
      </c>
      <c r="D3" s="1">
        <f>B3*C3</f>
        <v>17.149999999999999</v>
      </c>
    </row>
    <row r="4" spans="1:4" x14ac:dyDescent="0.25">
      <c r="A4" t="s">
        <v>2</v>
      </c>
      <c r="B4" s="1">
        <v>7.6</v>
      </c>
      <c r="C4">
        <v>1</v>
      </c>
      <c r="D4" s="1">
        <f>B4*C4</f>
        <v>7.6</v>
      </c>
    </row>
    <row r="5" spans="1:4" x14ac:dyDescent="0.25">
      <c r="A5" t="s">
        <v>3</v>
      </c>
      <c r="B5" s="1">
        <f>9.21/4</f>
        <v>2.3025000000000002</v>
      </c>
      <c r="C5">
        <v>2</v>
      </c>
      <c r="D5" s="1">
        <f>B5*C5</f>
        <v>4.6050000000000004</v>
      </c>
    </row>
    <row r="6" spans="1:4" x14ac:dyDescent="0.25">
      <c r="A6" t="s">
        <v>4</v>
      </c>
      <c r="B6" s="1">
        <f>8.39/5</f>
        <v>1.6780000000000002</v>
      </c>
      <c r="C6">
        <v>3</v>
      </c>
      <c r="D6" s="1">
        <f>B6*C6</f>
        <v>5.0340000000000007</v>
      </c>
    </row>
    <row r="7" spans="1:4" x14ac:dyDescent="0.25">
      <c r="A7" t="s">
        <v>5</v>
      </c>
      <c r="B7" s="1">
        <f>12.97/4</f>
        <v>3.2425000000000002</v>
      </c>
      <c r="C7">
        <v>2</v>
      </c>
      <c r="D7" s="1">
        <f>B7*C7</f>
        <v>6.4850000000000003</v>
      </c>
    </row>
    <row r="8" spans="1:4" x14ac:dyDescent="0.25">
      <c r="A8" t="s">
        <v>6</v>
      </c>
      <c r="B8" s="1">
        <f>5.99/20</f>
        <v>0.29949999999999999</v>
      </c>
      <c r="C8">
        <v>3</v>
      </c>
      <c r="D8" s="1">
        <f>B8*C8</f>
        <v>0.89849999999999997</v>
      </c>
    </row>
    <row r="9" spans="1:4" x14ac:dyDescent="0.25">
      <c r="A9" t="s">
        <v>7</v>
      </c>
      <c r="B9" s="1">
        <f>12.99/100</f>
        <v>0.12990000000000002</v>
      </c>
      <c r="C9">
        <v>14</v>
      </c>
      <c r="D9" s="1">
        <f>B9*C9</f>
        <v>1.8186000000000002</v>
      </c>
    </row>
    <row r="10" spans="1:4" x14ac:dyDescent="0.25">
      <c r="A10" t="s">
        <v>18</v>
      </c>
      <c r="B10" s="1">
        <f>15.98/5</f>
        <v>3.1960000000000002</v>
      </c>
      <c r="C10">
        <v>2</v>
      </c>
      <c r="D10" s="1">
        <f t="shared" ref="D10:D16" si="0">B10*C10</f>
        <v>6.3920000000000003</v>
      </c>
    </row>
    <row r="11" spans="1:4" x14ac:dyDescent="0.25">
      <c r="A11" t="s">
        <v>8</v>
      </c>
      <c r="B11" s="1">
        <f>16.99/10</f>
        <v>1.6989999999999998</v>
      </c>
      <c r="C11">
        <v>10</v>
      </c>
      <c r="D11" s="1">
        <f t="shared" si="0"/>
        <v>16.989999999999998</v>
      </c>
    </row>
    <row r="12" spans="1:4" x14ac:dyDescent="0.25">
      <c r="A12" t="s">
        <v>9</v>
      </c>
      <c r="B12" s="1">
        <f>117.98/2</f>
        <v>58.99</v>
      </c>
      <c r="C12">
        <v>2</v>
      </c>
      <c r="D12" s="1">
        <f t="shared" si="0"/>
        <v>117.98</v>
      </c>
    </row>
    <row r="13" spans="1:4" x14ac:dyDescent="0.25">
      <c r="A13" t="s">
        <v>10</v>
      </c>
      <c r="B13" s="1">
        <f>15.59/5</f>
        <v>3.1179999999999999</v>
      </c>
      <c r="C13">
        <v>3</v>
      </c>
      <c r="D13" s="1">
        <f t="shared" si="0"/>
        <v>9.3539999999999992</v>
      </c>
    </row>
    <row r="14" spans="1:4" x14ac:dyDescent="0.25">
      <c r="A14" t="s">
        <v>11</v>
      </c>
      <c r="B14" s="1">
        <f>22.98/2</f>
        <v>11.49</v>
      </c>
      <c r="C14">
        <v>2</v>
      </c>
      <c r="D14" s="1">
        <f t="shared" si="0"/>
        <v>22.98</v>
      </c>
    </row>
    <row r="15" spans="1:4" x14ac:dyDescent="0.25">
      <c r="A15" t="s">
        <v>12</v>
      </c>
      <c r="B15" s="1">
        <f>7.99/2</f>
        <v>3.9950000000000001</v>
      </c>
      <c r="C15">
        <v>2</v>
      </c>
      <c r="D15" s="1">
        <f t="shared" si="0"/>
        <v>7.99</v>
      </c>
    </row>
    <row r="16" spans="1:4" x14ac:dyDescent="0.25">
      <c r="A16" t="s">
        <v>11</v>
      </c>
      <c r="B16" s="1">
        <f>22.98/2</f>
        <v>11.49</v>
      </c>
      <c r="C16">
        <v>2</v>
      </c>
      <c r="D16" s="1">
        <f t="shared" si="0"/>
        <v>22.98</v>
      </c>
    </row>
    <row r="19" spans="1:4" x14ac:dyDescent="0.25">
      <c r="A19" t="s">
        <v>14</v>
      </c>
      <c r="B19" s="1">
        <f>43.7/2</f>
        <v>21.85</v>
      </c>
      <c r="C19">
        <v>2</v>
      </c>
      <c r="D19" s="1">
        <f t="shared" ref="D19:D25" si="1">B19*C19</f>
        <v>43.7</v>
      </c>
    </row>
    <row r="20" spans="1:4" x14ac:dyDescent="0.25">
      <c r="A20" t="s">
        <v>13</v>
      </c>
      <c r="B20" s="1">
        <f>33.47/2</f>
        <v>16.734999999999999</v>
      </c>
      <c r="C20">
        <v>2</v>
      </c>
      <c r="D20" s="1">
        <f t="shared" si="1"/>
        <v>33.47</v>
      </c>
    </row>
    <row r="22" spans="1:4" x14ac:dyDescent="0.25">
      <c r="A22" t="s">
        <v>15</v>
      </c>
      <c r="B22" s="1">
        <f>(10.54*1.19)/2</f>
        <v>6.2712999999999992</v>
      </c>
      <c r="C22">
        <v>2</v>
      </c>
      <c r="D22" s="1">
        <f t="shared" si="1"/>
        <v>12.542599999999998</v>
      </c>
    </row>
    <row r="23" spans="1:4" x14ac:dyDescent="0.25">
      <c r="A23" t="s">
        <v>16</v>
      </c>
      <c r="B23" s="1">
        <f>(26.61*1.19)/3</f>
        <v>10.555299999999999</v>
      </c>
      <c r="C23">
        <v>3</v>
      </c>
      <c r="D23" s="1">
        <f t="shared" si="1"/>
        <v>31.665899999999997</v>
      </c>
    </row>
    <row r="25" spans="1:4" x14ac:dyDescent="0.25">
      <c r="A25" t="s">
        <v>17</v>
      </c>
      <c r="B25" s="1">
        <v>6.95</v>
      </c>
      <c r="C25">
        <v>1</v>
      </c>
      <c r="D25" s="1">
        <f t="shared" si="1"/>
        <v>6.95</v>
      </c>
    </row>
    <row r="28" spans="1:4" x14ac:dyDescent="0.25">
      <c r="D28" s="1">
        <f>SUM(D1:D25)</f>
        <v>400.55560000000003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Wagner</dc:creator>
  <cp:lastModifiedBy>Michael Wagner</cp:lastModifiedBy>
  <dcterms:created xsi:type="dcterms:W3CDTF">2026-02-09T06:11:33Z</dcterms:created>
  <dcterms:modified xsi:type="dcterms:W3CDTF">2026-02-09T07:25:32Z</dcterms:modified>
</cp:coreProperties>
</file>